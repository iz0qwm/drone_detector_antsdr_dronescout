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VA\DRONI\Tracker Droni\tracker-mini\CNSAS\"/>
    </mc:Choice>
  </mc:AlternateContent>
  <xr:revisionPtr revIDLastSave="0" documentId="13_ncr:1_{51F4B122-FB55-4F64-9FBC-85DC0B194A9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ini Tracker Hardware" sheetId="1" r:id="rId1"/>
    <sheet name="Sviluppo" sheetId="4" r:id="rId2"/>
    <sheet name="Terminali Operatore" sheetId="2" r:id="rId3"/>
    <sheet name="Industrializzazion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8" i="1"/>
  <c r="B2" i="3" s="1"/>
  <c r="B12" i="3" s="1"/>
  <c r="B13" i="3"/>
  <c r="D4" i="3"/>
  <c r="B4" i="3"/>
  <c r="B19" i="4"/>
  <c r="B3" i="3"/>
</calcChain>
</file>

<file path=xl/sharedStrings.xml><?xml version="1.0" encoding="utf-8"?>
<sst xmlns="http://schemas.openxmlformats.org/spreadsheetml/2006/main" count="58" uniqueCount="54">
  <si>
    <t>Componente</t>
  </si>
  <si>
    <t>Costo €</t>
  </si>
  <si>
    <t>Raspberry Pi 4</t>
  </si>
  <si>
    <t>DS110 (IVA inclusa)</t>
  </si>
  <si>
    <t>RTL-SDR Blog V3 R860</t>
  </si>
  <si>
    <t>GPS VK-162</t>
  </si>
  <si>
    <t>Edimax EW-7811Un V2</t>
  </si>
  <si>
    <t>Prolunga USB RTL-SDR</t>
  </si>
  <si>
    <t>T-Beam Supreme</t>
  </si>
  <si>
    <t>Antenna ADS-B NooElec</t>
  </si>
  <si>
    <t>Antenne WiFi Greluma</t>
  </si>
  <si>
    <t>Passaparete RJ45</t>
  </si>
  <si>
    <t>Prolunga USB pannello</t>
  </si>
  <si>
    <t>Step Down 24/12V -&gt; 5V</t>
  </si>
  <si>
    <t>Ventole</t>
  </si>
  <si>
    <t>Connettori DC</t>
  </si>
  <si>
    <t>Alimentatore 12V 7A</t>
  </si>
  <si>
    <t>TOTALE</t>
  </si>
  <si>
    <t>ThinkNode M5</t>
  </si>
  <si>
    <t>Voce</t>
  </si>
  <si>
    <t>Valore</t>
  </si>
  <si>
    <t>Costo hardware mini tracker</t>
  </si>
  <si>
    <t>Costo terminale operatore</t>
  </si>
  <si>
    <t>Ore sviluppo software</t>
  </si>
  <si>
    <t>Valore orario (€)</t>
  </si>
  <si>
    <t>Costo assemblaggio</t>
  </si>
  <si>
    <t>Margine desiderato (%)</t>
  </si>
  <si>
    <t>Prezzo vendita stimato</t>
  </si>
  <si>
    <t>Note</t>
  </si>
  <si>
    <t>Compilare per valutazione economica</t>
  </si>
  <si>
    <t>Attività</t>
  </si>
  <si>
    <t>Ore stimate</t>
  </si>
  <si>
    <t>Architettura iniziale Raspberry + Flask + frontend</t>
  </si>
  <si>
    <t>Dashboard web e drawer</t>
  </si>
  <si>
    <t>Gestione reti (WiFi/AP/Ethernet)</t>
  </si>
  <si>
    <t>Mappe offline MBTiles</t>
  </si>
  <si>
    <t>Download mappe e catalogo</t>
  </si>
  <si>
    <t>Missioni e import GeoJSON</t>
  </si>
  <si>
    <t>ADS-B locale (readsb)</t>
  </si>
  <si>
    <t>ADS-B network (OGN/OpenSky/SolarMonitor)</t>
  </si>
  <si>
    <t>DS110 e Remote ID</t>
  </si>
  <si>
    <t>Debug BAD_DATA USB/UART</t>
  </si>
  <si>
    <t>Integrazione DSC heartbeat</t>
  </si>
  <si>
    <t>Integrazione DSC traffico droni</t>
  </si>
  <si>
    <t>GPS locale</t>
  </si>
  <si>
    <t>Aggiornamenti OTA</t>
  </si>
  <si>
    <t>Logging, servizi, systemd</t>
  </si>
  <si>
    <t>Test sul campo e debugging</t>
  </si>
  <si>
    <t>Rifiniture UI</t>
  </si>
  <si>
    <t>Stima vendita</t>
  </si>
  <si>
    <t>Costo hardware</t>
  </si>
  <si>
    <t>Fatturato</t>
  </si>
  <si>
    <t>Margine lordo</t>
  </si>
  <si>
    <t>Scatola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</si>
</sst>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\ &quot;€&quot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right" vertical="center" wrapText="1"/>
    </xf>
    <xf numFmtId="1" fontId="0" fillId="0" borderId="0" xfId="0" applyNumberFormat="1"/>
    <xf numFmtId="168" fontId="0" fillId="0" borderId="0" xfId="0" applyNumberFormat="1"/>
    <xf numFmtId="0" fontId="2" fillId="0" borderId="0" xfId="0" applyFont="1" applyAlignment="1">
      <alignment vertical="center" wrapText="1"/>
    </xf>
    <xf numFmtId="1" fontId="2" fillId="0" borderId="0" xfId="0" applyNumberFormat="1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C17" sqref="A17:XFD17"/>
    </sheetView>
  </sheetViews>
  <sheetFormatPr defaultRowHeight="14.4" x14ac:dyDescent="0.3"/>
  <cols>
    <col min="1" max="1" width="21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156</v>
      </c>
    </row>
    <row r="3" spans="1:2" x14ac:dyDescent="0.3">
      <c r="A3" t="s">
        <v>3</v>
      </c>
      <c r="B3">
        <v>182</v>
      </c>
    </row>
    <row r="4" spans="1:2" x14ac:dyDescent="0.3">
      <c r="A4" t="s">
        <v>4</v>
      </c>
      <c r="B4">
        <v>50</v>
      </c>
    </row>
    <row r="5" spans="1:2" x14ac:dyDescent="0.3">
      <c r="A5" t="s">
        <v>5</v>
      </c>
      <c r="B5">
        <v>18</v>
      </c>
    </row>
    <row r="6" spans="1:2" x14ac:dyDescent="0.3">
      <c r="A6" t="s">
        <v>6</v>
      </c>
      <c r="B6">
        <v>19</v>
      </c>
    </row>
    <row r="7" spans="1:2" x14ac:dyDescent="0.3">
      <c r="A7" t="s">
        <v>7</v>
      </c>
      <c r="B7">
        <v>7</v>
      </c>
    </row>
    <row r="8" spans="1:2" x14ac:dyDescent="0.3">
      <c r="A8" t="s">
        <v>8</v>
      </c>
      <c r="B8">
        <v>51</v>
      </c>
    </row>
    <row r="9" spans="1:2" x14ac:dyDescent="0.3">
      <c r="A9" t="s">
        <v>9</v>
      </c>
      <c r="B9">
        <v>18</v>
      </c>
    </row>
    <row r="10" spans="1:2" x14ac:dyDescent="0.3">
      <c r="A10" t="s">
        <v>10</v>
      </c>
      <c r="B10">
        <v>12</v>
      </c>
    </row>
    <row r="11" spans="1:2" x14ac:dyDescent="0.3">
      <c r="A11" t="s">
        <v>11</v>
      </c>
      <c r="B11">
        <v>12</v>
      </c>
    </row>
    <row r="12" spans="1:2" x14ac:dyDescent="0.3">
      <c r="A12" t="s">
        <v>12</v>
      </c>
      <c r="B12">
        <v>15</v>
      </c>
    </row>
    <row r="13" spans="1:2" x14ac:dyDescent="0.3">
      <c r="A13" t="s">
        <v>13</v>
      </c>
      <c r="B13">
        <v>11</v>
      </c>
    </row>
    <row r="14" spans="1:2" x14ac:dyDescent="0.3">
      <c r="A14" t="s">
        <v>14</v>
      </c>
      <c r="B14">
        <v>10</v>
      </c>
    </row>
    <row r="15" spans="1:2" x14ac:dyDescent="0.3">
      <c r="A15" t="s">
        <v>15</v>
      </c>
      <c r="B15">
        <v>9</v>
      </c>
    </row>
    <row r="16" spans="1:2" x14ac:dyDescent="0.3">
      <c r="A16" t="s">
        <v>16</v>
      </c>
      <c r="B16">
        <v>17</v>
      </c>
    </row>
    <row r="17" spans="1:2" x14ac:dyDescent="0.3">
      <c r="A17" t="s">
        <v>53</v>
      </c>
      <c r="B17">
        <v>40</v>
      </c>
    </row>
    <row r="18" spans="1:2" x14ac:dyDescent="0.3">
      <c r="A18" s="10" t="s">
        <v>17</v>
      </c>
      <c r="B18" s="10">
        <f>SUM(B2:B17)</f>
        <v>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A8ED-B31B-4490-8AD1-A6A24681C947}">
  <dimension ref="A1:B19"/>
  <sheetViews>
    <sheetView workbookViewId="0">
      <selection activeCell="A21" sqref="A21"/>
    </sheetView>
  </sheetViews>
  <sheetFormatPr defaultRowHeight="14.4" x14ac:dyDescent="0.3"/>
  <cols>
    <col min="1" max="1" width="47" customWidth="1"/>
  </cols>
  <sheetData>
    <row r="1" spans="1:2" ht="28.8" x14ac:dyDescent="0.3">
      <c r="A1" s="2" t="s">
        <v>30</v>
      </c>
      <c r="B1" s="3" t="s">
        <v>31</v>
      </c>
    </row>
    <row r="2" spans="1:2" x14ac:dyDescent="0.3">
      <c r="A2" s="4" t="s">
        <v>32</v>
      </c>
      <c r="B2" s="5">
        <v>20</v>
      </c>
    </row>
    <row r="3" spans="1:2" x14ac:dyDescent="0.3">
      <c r="A3" s="4" t="s">
        <v>33</v>
      </c>
      <c r="B3" s="5">
        <v>20</v>
      </c>
    </row>
    <row r="4" spans="1:2" x14ac:dyDescent="0.3">
      <c r="A4" s="4" t="s">
        <v>34</v>
      </c>
      <c r="B4" s="5">
        <v>15</v>
      </c>
    </row>
    <row r="5" spans="1:2" x14ac:dyDescent="0.3">
      <c r="A5" s="4" t="s">
        <v>35</v>
      </c>
      <c r="B5" s="5">
        <v>30</v>
      </c>
    </row>
    <row r="6" spans="1:2" x14ac:dyDescent="0.3">
      <c r="A6" s="4" t="s">
        <v>36</v>
      </c>
      <c r="B6" s="5">
        <v>15</v>
      </c>
    </row>
    <row r="7" spans="1:2" x14ac:dyDescent="0.3">
      <c r="A7" s="4" t="s">
        <v>37</v>
      </c>
      <c r="B7" s="5">
        <v>20</v>
      </c>
    </row>
    <row r="8" spans="1:2" x14ac:dyDescent="0.3">
      <c r="A8" s="4" t="s">
        <v>38</v>
      </c>
      <c r="B8" s="5">
        <v>20</v>
      </c>
    </row>
    <row r="9" spans="1:2" x14ac:dyDescent="0.3">
      <c r="A9" s="4" t="s">
        <v>39</v>
      </c>
      <c r="B9" s="5">
        <v>15</v>
      </c>
    </row>
    <row r="10" spans="1:2" x14ac:dyDescent="0.3">
      <c r="A10" s="4" t="s">
        <v>40</v>
      </c>
      <c r="B10" s="5">
        <v>40</v>
      </c>
    </row>
    <row r="11" spans="1:2" x14ac:dyDescent="0.3">
      <c r="A11" s="4" t="s">
        <v>41</v>
      </c>
      <c r="B11" s="5">
        <v>25</v>
      </c>
    </row>
    <row r="12" spans="1:2" x14ac:dyDescent="0.3">
      <c r="A12" s="4" t="s">
        <v>42</v>
      </c>
      <c r="B12" s="5">
        <v>12</v>
      </c>
    </row>
    <row r="13" spans="1:2" x14ac:dyDescent="0.3">
      <c r="A13" s="4" t="s">
        <v>43</v>
      </c>
      <c r="B13" s="5">
        <v>12</v>
      </c>
    </row>
    <row r="14" spans="1:2" x14ac:dyDescent="0.3">
      <c r="A14" s="4" t="s">
        <v>44</v>
      </c>
      <c r="B14" s="5">
        <v>5</v>
      </c>
    </row>
    <row r="15" spans="1:2" x14ac:dyDescent="0.3">
      <c r="A15" s="4" t="s">
        <v>45</v>
      </c>
      <c r="B15" s="5">
        <v>20</v>
      </c>
    </row>
    <row r="16" spans="1:2" x14ac:dyDescent="0.3">
      <c r="A16" s="4" t="s">
        <v>46</v>
      </c>
      <c r="B16" s="5">
        <v>10</v>
      </c>
    </row>
    <row r="17" spans="1:2" x14ac:dyDescent="0.3">
      <c r="A17" s="4" t="s">
        <v>47</v>
      </c>
      <c r="B17" s="5">
        <v>30</v>
      </c>
    </row>
    <row r="18" spans="1:2" x14ac:dyDescent="0.3">
      <c r="A18" s="4" t="s">
        <v>48</v>
      </c>
      <c r="B18" s="5">
        <v>25</v>
      </c>
    </row>
    <row r="19" spans="1:2" x14ac:dyDescent="0.3">
      <c r="A19" s="8" t="s">
        <v>17</v>
      </c>
      <c r="B19" s="9">
        <f>SUM(B2:B18)</f>
        <v>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cols>
    <col min="1" max="1" width="12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18</v>
      </c>
      <c r="B2">
        <v>81</v>
      </c>
    </row>
    <row r="3" spans="1:2" x14ac:dyDescent="0.3">
      <c r="A3" t="s">
        <v>17</v>
      </c>
      <c r="B3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tabSelected="1" workbookViewId="0">
      <selection activeCell="B11" sqref="B11"/>
    </sheetView>
  </sheetViews>
  <sheetFormatPr defaultRowHeight="14.4" x14ac:dyDescent="0.3"/>
  <cols>
    <col min="1" max="1" width="24.44140625" bestFit="1" customWidth="1"/>
    <col min="2" max="2" width="9.44140625" bestFit="1" customWidth="1"/>
    <col min="4" max="4" width="9.44140625" bestFit="1" customWidth="1"/>
  </cols>
  <sheetData>
    <row r="1" spans="1:4" x14ac:dyDescent="0.3">
      <c r="A1" s="1" t="s">
        <v>19</v>
      </c>
      <c r="B1" s="1" t="s">
        <v>20</v>
      </c>
    </row>
    <row r="2" spans="1:4" x14ac:dyDescent="0.3">
      <c r="A2" t="s">
        <v>21</v>
      </c>
      <c r="B2" s="7">
        <f>'Mini Tracker Hardware'!B18</f>
        <v>627</v>
      </c>
    </row>
    <row r="3" spans="1:4" x14ac:dyDescent="0.3">
      <c r="A3" t="s">
        <v>22</v>
      </c>
      <c r="B3" s="7">
        <f>'Terminali Operatore'!B3</f>
        <v>81</v>
      </c>
    </row>
    <row r="4" spans="1:4" x14ac:dyDescent="0.3">
      <c r="A4" t="s">
        <v>23</v>
      </c>
      <c r="B4" s="6">
        <f>Sviluppo!B19</f>
        <v>334</v>
      </c>
      <c r="D4" s="7">
        <f>B4*B5</f>
        <v>16700</v>
      </c>
    </row>
    <row r="5" spans="1:4" x14ac:dyDescent="0.3">
      <c r="A5" t="s">
        <v>24</v>
      </c>
      <c r="B5" s="7">
        <v>50</v>
      </c>
    </row>
    <row r="6" spans="1:4" x14ac:dyDescent="0.3">
      <c r="A6" t="s">
        <v>25</v>
      </c>
      <c r="B6" s="7">
        <v>80</v>
      </c>
    </row>
    <row r="7" spans="1:4" x14ac:dyDescent="0.3">
      <c r="A7" t="s">
        <v>26</v>
      </c>
      <c r="B7">
        <v>30</v>
      </c>
    </row>
    <row r="8" spans="1:4" x14ac:dyDescent="0.3">
      <c r="A8" t="s">
        <v>27</v>
      </c>
      <c r="B8" s="7">
        <v>1500</v>
      </c>
    </row>
    <row r="9" spans="1:4" x14ac:dyDescent="0.3">
      <c r="A9" t="s">
        <v>28</v>
      </c>
      <c r="B9" t="s">
        <v>29</v>
      </c>
    </row>
    <row r="11" spans="1:4" x14ac:dyDescent="0.3">
      <c r="A11" t="s">
        <v>49</v>
      </c>
      <c r="B11">
        <v>20</v>
      </c>
    </row>
    <row r="12" spans="1:4" x14ac:dyDescent="0.3">
      <c r="A12" t="s">
        <v>50</v>
      </c>
      <c r="B12" s="7">
        <f>B11*B2</f>
        <v>12540</v>
      </c>
    </row>
    <row r="13" spans="1:4" x14ac:dyDescent="0.3">
      <c r="A13" t="s">
        <v>51</v>
      </c>
      <c r="B13" s="7">
        <f>B11*B8</f>
        <v>30000</v>
      </c>
    </row>
    <row r="14" spans="1:4" x14ac:dyDescent="0.3">
      <c r="A14" t="s">
        <v>52</v>
      </c>
      <c r="B14" s="7">
        <f>B13-B12</f>
        <v>17460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Mini Tracker Hardware</vt:lpstr>
      <vt:lpstr>Sviluppo</vt:lpstr>
      <vt:lpstr>Terminali Operatore</vt:lpstr>
      <vt:lpstr>Industrializzazione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 Martino Raffaello</cp:lastModifiedBy>
  <dcterms:created xsi:type="dcterms:W3CDTF">2026-06-21T20:50:35Z</dcterms:created>
  <dcterms:modified xsi:type="dcterms:W3CDTF">2026-06-21T21:11:36Z</dcterms:modified>
</cp:coreProperties>
</file>